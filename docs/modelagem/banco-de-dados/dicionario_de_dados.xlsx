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Dicionário" sheetId="1" state="visible" r:id="rId2"/>
    <sheet name="Tabelas" sheetId="2" state="visible" r:id="rId3"/>
  </sheets>
  <definedNames>
    <definedName name="_xlnm._FilterDatabase" localSheetId="0" hidden="1">Dicionário!$A$1:$E$39</definedName>
    <definedName name="_xlnm._FilterDatabase" localSheetId="0" hidden="1">Dicionário!$A$1:$E$39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<sst xmlns="http://schemas.openxmlformats.org/spreadsheetml/2006/main" count="104" uniqueCount="104">
  <si>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>Tabela</t>
  </si>
  <si>
    <t>Atributo</t>
  </si>
  <si>
    <t xml:space="preserve">Tipo de Dado</t>
  </si>
  <si>
    <t>Restrições</t>
  </si>
  <si>
    <t>Descrição</t>
  </si>
  <si>
    <t>usuarios</t>
  </si>
  <si>
    <t>id_usuario</t>
  </si>
  <si>
    <t>Integer</t>
  </si>
  <si>
    <t xml:space="preserve">PK, Auto Increment</t>
  </si>
  <si>
    <t xml:space="preserve">Identificador único do usuário.</t>
  </si>
  <si>
    <t>nome</t>
  </si>
  <si>
    <t>Varchar(100)</t>
  </si>
  <si>
    <t xml:space="preserve">Not Null</t>
  </si>
  <si>
    <t xml:space="preserve">Nome de exibição do usuário.</t>
  </si>
  <si>
    <t>email</t>
  </si>
  <si>
    <t>Varchar(255)</t>
  </si>
  <si>
    <t xml:space="preserve">Unique, Not Null</t>
  </si>
  <si>
    <t xml:space="preserve">E-mail de login do usuário (único no sistema).</t>
  </si>
  <si>
    <t>hash_senha</t>
  </si>
  <si>
    <t xml:space="preserve">Senha criptografada do usuário para login seguro.</t>
  </si>
  <si>
    <t>contas_bancarias</t>
  </si>
  <si>
    <t>id_conta_bancaria</t>
  </si>
  <si>
    <t xml:space="preserve">Identificador único da conta.</t>
  </si>
  <si>
    <t xml:space="preserve">FK (usuarios.id), Not Null</t>
  </si>
  <si>
    <t xml:space="preserve">Usuário proprietário da conta.</t>
  </si>
  <si>
    <t xml:space="preserve">Nome da conta (ex: Nubank, Carteira).</t>
  </si>
  <si>
    <t>tipo</t>
  </si>
  <si>
    <t>Varchar(50)</t>
  </si>
  <si>
    <t xml:space="preserve">Classificação (Corrente, Poupança, etc).</t>
  </si>
  <si>
    <t>saldo_atual</t>
  </si>
  <si>
    <t>Numeric(12,2)</t>
  </si>
  <si>
    <t xml:space="preserve">Default 0.00</t>
  </si>
  <si>
    <t xml:space="preserve">Valor líquido atual disponível na conta.</t>
  </si>
  <si>
    <t>categorias</t>
  </si>
  <si>
    <t>id_categoria</t>
  </si>
  <si>
    <t xml:space="preserve">Identificador único da categoria.</t>
  </si>
  <si>
    <t xml:space="preserve">Usuário que criou a categoria.</t>
  </si>
  <si>
    <t xml:space="preserve">Nome da categoria (ex: Alimentação, Lazer).</t>
  </si>
  <si>
    <t>natureza</t>
  </si>
  <si>
    <t xml:space="preserve">Indica se é 'Receita' ou 'Despesa'.</t>
  </si>
  <si>
    <t>transacoes</t>
  </si>
  <si>
    <t>id_transacao</t>
  </si>
  <si>
    <t xml:space="preserve">Identificador único da transação.</t>
  </si>
  <si>
    <t xml:space="preserve">Usuário que realizou a operação.</t>
  </si>
  <si>
    <t xml:space="preserve">FK (contas_bancarias.id), Not Null</t>
  </si>
  <si>
    <t xml:space="preserve">Conta onde o saldo foi alterado.</t>
  </si>
  <si>
    <t xml:space="preserve">FK (categorias.id), Not Null</t>
  </si>
  <si>
    <t xml:space="preserve">Categoria atrelada ao gasto/ganho.</t>
  </si>
  <si>
    <t>valor</t>
  </si>
  <si>
    <t xml:space="preserve">Montante financeiro da movimentação.</t>
  </si>
  <si>
    <t>descricao</t>
  </si>
  <si>
    <t>Varchar(200)</t>
  </si>
  <si>
    <t>Nullable</t>
  </si>
  <si>
    <t xml:space="preserve">Opcional. Detalhamento extra da transação.</t>
  </si>
  <si>
    <t>data</t>
  </si>
  <si>
    <t>Timestamp</t>
  </si>
  <si>
    <t xml:space="preserve">Data e hora exata em que ocorreu a transação.</t>
  </si>
  <si>
    <t>ativos</t>
  </si>
  <si>
    <t>id_ativo</t>
  </si>
  <si>
    <t xml:space="preserve">Identificador único do ativo no sistema.</t>
  </si>
  <si>
    <t xml:space="preserve">Nome do produto (ex: Bitcoin, Petrobras).</t>
  </si>
  <si>
    <t>ticker</t>
  </si>
  <si>
    <t>Varchar(20)</t>
  </si>
  <si>
    <t xml:space="preserve">Código de mercado para APIs (ex: BTC, PETR4).</t>
  </si>
  <si>
    <t>classe</t>
  </si>
  <si>
    <t xml:space="preserve">Tipo (Ação, Cripto, Renda Fixa, FII).</t>
  </si>
  <si>
    <t>indexador</t>
  </si>
  <si>
    <t xml:space="preserve">Índice aplicável à Renda Fixa (CDI, SELIC).</t>
  </si>
  <si>
    <t>taxa_rendimento</t>
  </si>
  <si>
    <t>Numeric(10,4)</t>
  </si>
  <si>
    <t xml:space="preserve">Percentual de rendimento atrelado ao indexador.</t>
  </si>
  <si>
    <t>ordens_investimento</t>
  </si>
  <si>
    <t>id_ordem_investimento</t>
  </si>
  <si>
    <t xml:space="preserve">Identificador único da ordem de mercado.</t>
  </si>
  <si>
    <t xml:space="preserve">Usuário investidor.</t>
  </si>
  <si>
    <t xml:space="preserve">FK (ativos.id), Not Null</t>
  </si>
  <si>
    <t xml:space="preserve">Qual ativo foi negociado.</t>
  </si>
  <si>
    <t xml:space="preserve">Natureza da ordem ('Compra' ou 'Venda').</t>
  </si>
  <si>
    <t>quantidade</t>
  </si>
  <si>
    <t>Numeric(16,8)</t>
  </si>
  <si>
    <t xml:space="preserve">Volume adquirido (suporta frações de Cripto).</t>
  </si>
  <si>
    <t>preco_unitario</t>
  </si>
  <si>
    <t>Numeric(12,4)</t>
  </si>
  <si>
    <t xml:space="preserve">Preço pago por cada unidade no ato da ordem.</t>
  </si>
  <si>
    <t xml:space="preserve">Data e hora exata da transação de investimento.</t>
  </si>
  <si>
    <t>historicos_patrimoniais</t>
  </si>
  <si>
    <t>id_historico_patrimonial</t>
  </si>
  <si>
    <t xml:space="preserve">Identificador único do registro histórico.</t>
  </si>
  <si>
    <t xml:space="preserve">Usuário ao qual o patrimônio pertence.</t>
  </si>
  <si>
    <t xml:space="preserve">Data de consolidação (ex: fechamento do mês).</t>
  </si>
  <si>
    <t>total_caixa</t>
  </si>
  <si>
    <t>Numeric(15,2)</t>
  </si>
  <si>
    <t xml:space="preserve">Somatório de saldos nas contas bancárias.</t>
  </si>
  <si>
    <t>total_investido</t>
  </si>
  <si>
    <t xml:space="preserve">Valor atualizado da carteira segundo API Externa.</t>
  </si>
  <si>
    <t xml:space="preserve">Nº de atributos</t>
  </si>
  <si>
    <t xml:space="preserve">Entidade que armazena os dados de acesso e isola o escopo de cada pessoa no sistema.</t>
  </si>
  <si>
    <t xml:space="preserve">Armazena as carteiras físicas e contas de instituições financeiras do usuário.</t>
  </si>
  <si>
    <t xml:space="preserve">Classificadores personalizados criados pelo usuário para organizar o fluxo de caixa.</t>
  </si>
  <si>
    <t xml:space="preserve">Registro do fluxo de caixa diário (entradas e saídas financeiras).</t>
  </si>
  <si>
    <t xml:space="preserve">Catálogo global de mercado financeiro. Não possui usuario_id pois é compartilhado por todos.</t>
  </si>
  <si>
    <t>ordens_investimentos</t>
  </si>
  <si>
    <t xml:space="preserve">Registro pessoal de compra ou venda de frações de um ativo do mercado.</t>
  </si>
  <si>
    <t xml:space="preserve">Consolidação mensal gerada pelo sistema (via consumo da API Externa de cotações) para gerar relatórios.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</si>
</sst>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1.000000"/>
      <color indexed="65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3"/>
      </patternFill>
    </fill>
    <fill>
      <patternFill patternType="solid">
        <fgColor rgb="FFEAF0FA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horizontal="left" vertical="center"/>
      <protection hidden="0" locked="1"/>
    </xf>
    <xf fontId="1" fillId="3" borderId="1" numFmtId="0" xfId="0" applyFont="1" applyFill="1" applyBorder="1" applyAlignment="1" applyProtection="0">
      <alignment vertical="top" wrapText="1"/>
      <protection hidden="0" locked="1"/>
    </xf>
    <xf fontId="1" fillId="0" borderId="1" numFmtId="0" xfId="0" applyFont="1" applyBorder="1" applyAlignment="1" applyProtection="0">
      <alignment vertical="top" wrapText="1"/>
      <protection hidden="0" locked="1"/>
    </xf>
    <xf fontId="0" fillId="0" borderId="0" numFmtId="0" xfId="0" applyProtection="0">
      <protection hidden="0" locked="1"/>
    </xf>
    <xf fontId="2" fillId="2" borderId="1" numFmtId="0" xfId="0" applyFont="1" applyFill="1" applyBorder="1" applyAlignment="1" applyProtection="0">
      <alignment vertical="center"/>
      <protection hidden="0" locked="1"/>
    </xf>
    <xf fontId="1" fillId="3" borderId="1" numFmtId="0" xfId="0" applyFont="1" applyFill="1" applyBorder="1" applyAlignment="1" applyProtection="0">
      <alignment horizontal="left" vertical="top" wrapText="1"/>
      <protection hidden="0" locked="1"/>
    </xf>
    <xf fontId="1" fillId="3" borderId="1" numFmtId="0" xfId="0" applyFont="1" applyFill="1" applyBorder="1" applyAlignment="1" applyProtection="0">
      <alignment horizontal="center" vertical="top" wrapText="1"/>
      <protection hidden="0" locked="1"/>
    </xf>
    <xf fontId="1" fillId="0" borderId="1" numFmtId="0" xfId="0" applyFont="1" applyBorder="1" applyAlignment="1" applyProtection="0">
      <alignment horizontal="left" vertical="top" wrapText="1"/>
      <protection hidden="0" locked="1"/>
    </xf>
    <xf fontId="1" fillId="0" borderId="1" numFmtId="0" xfId="0" applyFont="1" applyBorder="1" applyAlignment="1" applyProtection="0">
      <alignment horizontal="center"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4.25"/>
  <cols>
    <col customWidth="1" min="1" max="1" style="0" width="26"/>
    <col customWidth="1" min="2" max="2" style="0" width="20"/>
    <col customWidth="1" min="3" max="3" style="0" width="18"/>
    <col customWidth="1" min="4" max="4" style="0" width="30"/>
    <col customWidth="1" min="5" max="5" style="0" width="62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1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15">
      <c r="A5" s="2" t="s">
        <v>5</v>
      </c>
      <c r="B5" s="2" t="s">
        <v>18</v>
      </c>
      <c r="C5" s="2" t="s">
        <v>15</v>
      </c>
      <c r="D5" s="2" t="s">
        <v>12</v>
      </c>
      <c r="E5" s="2" t="s">
        <v>19</v>
      </c>
    </row>
    <row r="6" ht="15">
      <c r="A6" s="3" t="s">
        <v>20</v>
      </c>
      <c r="B6" s="3" t="s">
        <v>21</v>
      </c>
      <c r="C6" s="3" t="s">
        <v>7</v>
      </c>
      <c r="D6" s="3" t="s">
        <v>8</v>
      </c>
      <c r="E6" s="3" t="s">
        <v>22</v>
      </c>
    </row>
    <row r="7" ht="15">
      <c r="A7" s="3" t="s">
        <v>20</v>
      </c>
      <c r="B7" s="3" t="s">
        <v>6</v>
      </c>
      <c r="C7" s="3" t="s">
        <v>7</v>
      </c>
      <c r="D7" s="3" t="s">
        <v>23</v>
      </c>
      <c r="E7" s="3" t="s">
        <v>24</v>
      </c>
    </row>
    <row r="8" ht="15">
      <c r="A8" s="3" t="s">
        <v>20</v>
      </c>
      <c r="B8" s="3" t="s">
        <v>10</v>
      </c>
      <c r="C8" s="3" t="s">
        <v>11</v>
      </c>
      <c r="D8" s="3" t="s">
        <v>12</v>
      </c>
      <c r="E8" s="3" t="s">
        <v>25</v>
      </c>
    </row>
    <row r="9" ht="15">
      <c r="A9" s="3" t="s">
        <v>20</v>
      </c>
      <c r="B9" s="3" t="s">
        <v>26</v>
      </c>
      <c r="C9" s="3" t="s">
        <v>27</v>
      </c>
      <c r="D9" s="3" t="s">
        <v>12</v>
      </c>
      <c r="E9" s="3" t="s">
        <v>28</v>
      </c>
    </row>
    <row r="10" ht="15">
      <c r="A10" s="3" t="s">
        <v>20</v>
      </c>
      <c r="B10" s="3" t="s">
        <v>29</v>
      </c>
      <c r="C10" s="3" t="s">
        <v>30</v>
      </c>
      <c r="D10" s="3" t="s">
        <v>31</v>
      </c>
      <c r="E10" s="3" t="s">
        <v>32</v>
      </c>
    </row>
    <row r="11" ht="15">
      <c r="A11" s="2" t="s">
        <v>33</v>
      </c>
      <c r="B11" s="2" t="s">
        <v>34</v>
      </c>
      <c r="C11" s="2" t="s">
        <v>7</v>
      </c>
      <c r="D11" s="2" t="s">
        <v>8</v>
      </c>
      <c r="E11" s="2" t="s">
        <v>35</v>
      </c>
    </row>
    <row r="12" ht="15">
      <c r="A12" s="2" t="s">
        <v>33</v>
      </c>
      <c r="B12" s="2" t="s">
        <v>6</v>
      </c>
      <c r="C12" s="2" t="s">
        <v>7</v>
      </c>
      <c r="D12" s="2" t="s">
        <v>23</v>
      </c>
      <c r="E12" s="2" t="s">
        <v>36</v>
      </c>
    </row>
    <row r="13" ht="15">
      <c r="A13" s="2" t="s">
        <v>33</v>
      </c>
      <c r="B13" s="2" t="s">
        <v>10</v>
      </c>
      <c r="C13" s="2" t="s">
        <v>11</v>
      </c>
      <c r="D13" s="2" t="s">
        <v>12</v>
      </c>
      <c r="E13" s="2" t="s">
        <v>37</v>
      </c>
    </row>
    <row r="14" ht="15">
      <c r="A14" s="2" t="s">
        <v>33</v>
      </c>
      <c r="B14" s="2" t="s">
        <v>38</v>
      </c>
      <c r="C14" s="2" t="s">
        <v>27</v>
      </c>
      <c r="D14" s="2" t="s">
        <v>12</v>
      </c>
      <c r="E14" s="2" t="s">
        <v>39</v>
      </c>
    </row>
    <row r="15" ht="15">
      <c r="A15" s="3" t="s">
        <v>40</v>
      </c>
      <c r="B15" s="3" t="s">
        <v>41</v>
      </c>
      <c r="C15" s="3" t="s">
        <v>7</v>
      </c>
      <c r="D15" s="3" t="s">
        <v>8</v>
      </c>
      <c r="E15" s="3" t="s">
        <v>42</v>
      </c>
    </row>
    <row r="16" ht="15">
      <c r="A16" s="3" t="s">
        <v>40</v>
      </c>
      <c r="B16" s="3" t="s">
        <v>6</v>
      </c>
      <c r="C16" s="3" t="s">
        <v>7</v>
      </c>
      <c r="D16" s="3" t="s">
        <v>23</v>
      </c>
      <c r="E16" s="3" t="s">
        <v>43</v>
      </c>
    </row>
    <row r="17" ht="15">
      <c r="A17" s="3" t="s">
        <v>40</v>
      </c>
      <c r="B17" s="3" t="s">
        <v>21</v>
      </c>
      <c r="C17" s="3" t="s">
        <v>7</v>
      </c>
      <c r="D17" s="3" t="s">
        <v>44</v>
      </c>
      <c r="E17" s="3" t="s">
        <v>45</v>
      </c>
    </row>
    <row r="18" ht="15">
      <c r="A18" s="3" t="s">
        <v>40</v>
      </c>
      <c r="B18" s="3" t="s">
        <v>34</v>
      </c>
      <c r="C18" s="3" t="s">
        <v>7</v>
      </c>
      <c r="D18" s="3" t="s">
        <v>46</v>
      </c>
      <c r="E18" s="3" t="s">
        <v>47</v>
      </c>
    </row>
    <row r="19" ht="15">
      <c r="A19" s="3" t="s">
        <v>40</v>
      </c>
      <c r="B19" s="3" t="s">
        <v>48</v>
      </c>
      <c r="C19" s="3" t="s">
        <v>30</v>
      </c>
      <c r="D19" s="3" t="s">
        <v>12</v>
      </c>
      <c r="E19" s="3" t="s">
        <v>49</v>
      </c>
    </row>
    <row r="20" ht="15">
      <c r="A20" s="3" t="s">
        <v>40</v>
      </c>
      <c r="B20" s="3" t="s">
        <v>50</v>
      </c>
      <c r="C20" s="3" t="s">
        <v>51</v>
      </c>
      <c r="D20" s="3" t="s">
        <v>52</v>
      </c>
      <c r="E20" s="3" t="s">
        <v>53</v>
      </c>
    </row>
    <row r="21" ht="15">
      <c r="A21" s="3" t="s">
        <v>40</v>
      </c>
      <c r="B21" s="3" t="s">
        <v>54</v>
      </c>
      <c r="C21" s="3" t="s">
        <v>55</v>
      </c>
      <c r="D21" s="3" t="s">
        <v>12</v>
      </c>
      <c r="E21" s="3" t="s">
        <v>56</v>
      </c>
    </row>
    <row r="22" ht="15">
      <c r="A22" s="2" t="s">
        <v>57</v>
      </c>
      <c r="B22" s="2" t="s">
        <v>58</v>
      </c>
      <c r="C22" s="2" t="s">
        <v>7</v>
      </c>
      <c r="D22" s="2" t="s">
        <v>8</v>
      </c>
      <c r="E22" s="2" t="s">
        <v>59</v>
      </c>
    </row>
    <row r="23" ht="15">
      <c r="A23" s="2" t="s">
        <v>57</v>
      </c>
      <c r="B23" s="2" t="s">
        <v>10</v>
      </c>
      <c r="C23" s="2" t="s">
        <v>11</v>
      </c>
      <c r="D23" s="2" t="s">
        <v>12</v>
      </c>
      <c r="E23" s="2" t="s">
        <v>60</v>
      </c>
    </row>
    <row r="24" ht="15">
      <c r="A24" s="2" t="s">
        <v>57</v>
      </c>
      <c r="B24" s="2" t="s">
        <v>61</v>
      </c>
      <c r="C24" s="2" t="s">
        <v>62</v>
      </c>
      <c r="D24" s="2" t="s">
        <v>52</v>
      </c>
      <c r="E24" s="2" t="s">
        <v>63</v>
      </c>
    </row>
    <row r="25" ht="15">
      <c r="A25" s="2" t="s">
        <v>57</v>
      </c>
      <c r="B25" s="2" t="s">
        <v>64</v>
      </c>
      <c r="C25" s="2" t="s">
        <v>27</v>
      </c>
      <c r="D25" s="2" t="s">
        <v>12</v>
      </c>
      <c r="E25" s="2" t="s">
        <v>65</v>
      </c>
    </row>
    <row r="26" ht="15">
      <c r="A26" s="2" t="s">
        <v>57</v>
      </c>
      <c r="B26" s="2" t="s">
        <v>66</v>
      </c>
      <c r="C26" s="2" t="s">
        <v>27</v>
      </c>
      <c r="D26" s="2" t="s">
        <v>52</v>
      </c>
      <c r="E26" s="2" t="s">
        <v>67</v>
      </c>
    </row>
    <row r="27" ht="15">
      <c r="A27" s="2" t="s">
        <v>57</v>
      </c>
      <c r="B27" s="2" t="s">
        <v>68</v>
      </c>
      <c r="C27" s="2" t="s">
        <v>69</v>
      </c>
      <c r="D27" s="2" t="s">
        <v>52</v>
      </c>
      <c r="E27" s="2" t="s">
        <v>70</v>
      </c>
    </row>
    <row r="28" ht="15">
      <c r="A28" s="3" t="s">
        <v>71</v>
      </c>
      <c r="B28" s="3" t="s">
        <v>72</v>
      </c>
      <c r="C28" s="3" t="s">
        <v>7</v>
      </c>
      <c r="D28" s="3" t="s">
        <v>8</v>
      </c>
      <c r="E28" s="3" t="s">
        <v>73</v>
      </c>
    </row>
    <row r="29" ht="15">
      <c r="A29" s="3" t="s">
        <v>71</v>
      </c>
      <c r="B29" s="3" t="s">
        <v>6</v>
      </c>
      <c r="C29" s="3" t="s">
        <v>7</v>
      </c>
      <c r="D29" s="3" t="s">
        <v>23</v>
      </c>
      <c r="E29" s="3" t="s">
        <v>74</v>
      </c>
    </row>
    <row r="30" ht="15">
      <c r="A30" s="3" t="s">
        <v>71</v>
      </c>
      <c r="B30" s="3" t="s">
        <v>58</v>
      </c>
      <c r="C30" s="3" t="s">
        <v>7</v>
      </c>
      <c r="D30" s="3" t="s">
        <v>75</v>
      </c>
      <c r="E30" s="3" t="s">
        <v>76</v>
      </c>
    </row>
    <row r="31" ht="15">
      <c r="A31" s="3" t="s">
        <v>71</v>
      </c>
      <c r="B31" s="3" t="s">
        <v>26</v>
      </c>
      <c r="C31" s="3" t="s">
        <v>27</v>
      </c>
      <c r="D31" s="3" t="s">
        <v>12</v>
      </c>
      <c r="E31" s="3" t="s">
        <v>77</v>
      </c>
    </row>
    <row r="32" ht="15">
      <c r="A32" s="3" t="s">
        <v>71</v>
      </c>
      <c r="B32" s="3" t="s">
        <v>78</v>
      </c>
      <c r="C32" s="3" t="s">
        <v>79</v>
      </c>
      <c r="D32" s="3" t="s">
        <v>12</v>
      </c>
      <c r="E32" s="3" t="s">
        <v>80</v>
      </c>
    </row>
    <row r="33" ht="15">
      <c r="A33" s="3" t="s">
        <v>71</v>
      </c>
      <c r="B33" s="3" t="s">
        <v>81</v>
      </c>
      <c r="C33" s="3" t="s">
        <v>82</v>
      </c>
      <c r="D33" s="3" t="s">
        <v>12</v>
      </c>
      <c r="E33" s="3" t="s">
        <v>83</v>
      </c>
    </row>
    <row r="34" ht="15">
      <c r="A34" s="3" t="s">
        <v>71</v>
      </c>
      <c r="B34" s="3" t="s">
        <v>54</v>
      </c>
      <c r="C34" s="3" t="s">
        <v>55</v>
      </c>
      <c r="D34" s="3" t="s">
        <v>12</v>
      </c>
      <c r="E34" s="3" t="s">
        <v>84</v>
      </c>
    </row>
    <row r="35" ht="25.5">
      <c r="A35" s="2" t="s">
        <v>85</v>
      </c>
      <c r="B35" s="2" t="s">
        <v>86</v>
      </c>
      <c r="C35" s="2" t="s">
        <v>7</v>
      </c>
      <c r="D35" s="2" t="s">
        <v>8</v>
      </c>
      <c r="E35" s="2" t="s">
        <v>87</v>
      </c>
    </row>
    <row r="36" ht="15">
      <c r="A36" s="2" t="s">
        <v>85</v>
      </c>
      <c r="B36" s="2" t="s">
        <v>6</v>
      </c>
      <c r="C36" s="2" t="s">
        <v>7</v>
      </c>
      <c r="D36" s="2" t="s">
        <v>23</v>
      </c>
      <c r="E36" s="2" t="s">
        <v>88</v>
      </c>
    </row>
    <row r="37" ht="15">
      <c r="A37" s="2" t="s">
        <v>85</v>
      </c>
      <c r="B37" s="2" t="s">
        <v>54</v>
      </c>
      <c r="C37" s="2" t="s">
        <v>55</v>
      </c>
      <c r="D37" s="2" t="s">
        <v>12</v>
      </c>
      <c r="E37" s="2" t="s">
        <v>89</v>
      </c>
    </row>
    <row r="38" ht="15">
      <c r="A38" s="2" t="s">
        <v>85</v>
      </c>
      <c r="B38" s="2" t="s">
        <v>90</v>
      </c>
      <c r="C38" s="2" t="s">
        <v>91</v>
      </c>
      <c r="D38" s="2" t="s">
        <v>12</v>
      </c>
      <c r="E38" s="2" t="s">
        <v>92</v>
      </c>
    </row>
    <row r="39" ht="15">
      <c r="A39" s="2" t="s">
        <v>85</v>
      </c>
      <c r="B39" s="2" t="s">
        <v>93</v>
      </c>
      <c r="C39" s="2" t="s">
        <v>91</v>
      </c>
      <c r="D39" s="2" t="s">
        <v>12</v>
      </c>
      <c r="E39" s="2" t="s">
        <v>94</v>
      </c>
    </row>
    <row r="40" ht="14.25">
      <c r="A40"/>
      <c r="B40" s="4"/>
      <c r="C40" s="4"/>
      <c r="D40"/>
    </row>
  </sheetData>
  <autoFilter ref="A1:E39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A1" activeCellId="0" sqref="A1"/>
    </sheetView>
  </sheetViews>
  <sheetFormatPr defaultColWidth="8.6796875" defaultRowHeight="15"/>
  <cols>
    <col customWidth="1" min="1" max="1" style="0" width="26"/>
    <col customWidth="1" min="2" max="2" style="0" width="90"/>
    <col customWidth="1" min="3" max="3" style="0" width="16"/>
  </cols>
  <sheetData>
    <row r="1" ht="15">
      <c r="A1" s="5" t="s">
        <v>0</v>
      </c>
      <c r="B1" s="5" t="s">
        <v>4</v>
      </c>
      <c r="C1" s="5" t="s">
        <v>95</v>
      </c>
    </row>
    <row r="2" ht="15">
      <c r="A2" s="6" t="s">
        <v>5</v>
      </c>
      <c r="B2" s="6" t="s">
        <v>96</v>
      </c>
      <c r="C2" s="7">
        <f>COUNTIF(Dicionário!$A$2:$A$39,A2)</f>
        <v>4</v>
      </c>
    </row>
    <row r="3" ht="15">
      <c r="A3" s="8" t="s">
        <v>20</v>
      </c>
      <c r="B3" s="8" t="s">
        <v>97</v>
      </c>
      <c r="C3" s="9">
        <f>COUNTIF(Dicionário!$A$2:$A$39,A3)</f>
        <v>5</v>
      </c>
    </row>
    <row r="4" ht="15">
      <c r="A4" s="6" t="s">
        <v>33</v>
      </c>
      <c r="B4" s="6" t="s">
        <v>98</v>
      </c>
      <c r="C4" s="7">
        <f>COUNTIF(Dicionário!$A$2:$A$39,A4)</f>
        <v>4</v>
      </c>
    </row>
    <row r="5" ht="15">
      <c r="A5" s="8" t="s">
        <v>40</v>
      </c>
      <c r="B5" s="8" t="s">
        <v>99</v>
      </c>
      <c r="C5" s="9">
        <f>COUNTIF(Dicionário!$A$2:$A$39,A5)</f>
        <v>7</v>
      </c>
    </row>
    <row r="6" ht="15">
      <c r="A6" s="6" t="s">
        <v>57</v>
      </c>
      <c r="B6" s="6" t="s">
        <v>100</v>
      </c>
      <c r="C6" s="7">
        <f>COUNTIF(Dicionário!$A$2:$A$39,A6)</f>
        <v>6</v>
      </c>
    </row>
    <row r="7" ht="15">
      <c r="A7" s="8" t="s">
        <v>101</v>
      </c>
      <c r="B7" s="8" t="s">
        <v>102</v>
      </c>
      <c r="C7" s="9">
        <f>COUNTIF(Dicionário!$A$2:$A$39,A7)</f>
        <v>0</v>
      </c>
    </row>
    <row r="8" ht="15">
      <c r="A8" s="6" t="s">
        <v>85</v>
      </c>
      <c r="B8" s="6" t="s">
        <v>103</v>
      </c>
      <c r="C8" s="7">
        <f>COUNTIF(Dicionário!$A$2:$A$39,A8)</f>
        <v>5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2026-10-08T14:04:51Z</dcterms:created>
  <dcterms:modified xsi:type="dcterms:W3CDTF">2026-10-08T14:29:38Z</dcterms:modified>
</cp:coreProperties>
</file>